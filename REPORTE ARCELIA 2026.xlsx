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bzca\Documents\"/>
    </mc:Choice>
  </mc:AlternateContent>
  <xr:revisionPtr revIDLastSave="0" documentId="13_ncr:1_{0F6DBCF7-33C8-4C51-BB6C-DE537231430A}" xr6:coauthVersionLast="47" xr6:coauthVersionMax="47" xr10:uidLastSave="{00000000-0000-0000-0000-000000000000}"/>
  <bookViews>
    <workbookView xWindow="-108" yWindow="-108" windowWidth="23256" windowHeight="12456" xr2:uid="{0271C320-DF64-4872-8532-41577C3C0F21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E25" i="1"/>
  <c r="E33" i="1" s="1"/>
  <c r="E6" i="1"/>
  <c r="E35" i="1" s="1"/>
  <c r="E39" i="1" l="1"/>
</calcChain>
</file>

<file path=xl/sharedStrings.xml><?xml version="1.0" encoding="utf-8"?>
<sst xmlns="http://schemas.openxmlformats.org/spreadsheetml/2006/main" count="23" uniqueCount="21">
  <si>
    <t>CONTRATO DE BANCO NUMERO 7093131</t>
  </si>
  <si>
    <t xml:space="preserve">SALDO AL CORTE </t>
  </si>
  <si>
    <t>TOTAL</t>
  </si>
  <si>
    <t>RENDIMIENTO ESPERADO</t>
  </si>
  <si>
    <t xml:space="preserve">ACTIGOB </t>
  </si>
  <si>
    <t>BLINDAJE PROTECCION</t>
  </si>
  <si>
    <t>PROT26</t>
  </si>
  <si>
    <t>CASA DE BOLSA EN DÓLARES NÚMERO 5323483</t>
  </si>
  <si>
    <t>TOTAL EN DOLARES</t>
  </si>
  <si>
    <t>ACTIGOB</t>
  </si>
  <si>
    <t>ACTIREN/PROTEGE</t>
  </si>
  <si>
    <t>ESCALA</t>
  </si>
  <si>
    <t>EFECTIVO</t>
  </si>
  <si>
    <t>Por liquidar</t>
  </si>
  <si>
    <t>ACTICOB</t>
  </si>
  <si>
    <t>TC</t>
  </si>
  <si>
    <t>TC ESPERADO CIERRE 2026</t>
  </si>
  <si>
    <t>DÓLARES EN PESOS</t>
  </si>
  <si>
    <t>TOTAL PESOS</t>
  </si>
  <si>
    <t xml:space="preserve"> MAS PROTECCION</t>
  </si>
  <si>
    <t xml:space="preserve">TOTAL DOLARES+PESOS EN PESOS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</si>
</sst>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44" fontId="3" fillId="3" borderId="0" xfId="1" applyFont="1" applyFill="1" applyBorder="1" applyAlignment="1">
      <alignment horizontal="center" vertical="center"/>
    </xf>
    <xf numFmtId="9" fontId="0" fillId="0" borderId="0" xfId="0" applyNumberFormat="1"/>
    <xf numFmtId="0" fontId="3" fillId="3" borderId="4" xfId="0" applyFont="1" applyFill="1" applyBorder="1" applyAlignment="1">
      <alignment horizontal="center" vertical="center"/>
    </xf>
    <xf numFmtId="44" fontId="3" fillId="3" borderId="5" xfId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44" fontId="2" fillId="2" borderId="5" xfId="1" applyFont="1" applyFill="1" applyBorder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10" fontId="0" fillId="0" borderId="0" xfId="0" applyNumberFormat="1"/>
    <xf numFmtId="44" fontId="0" fillId="0" borderId="0" xfId="0" applyNumberFormat="1"/>
    <xf numFmtId="0" fontId="2" fillId="2" borderId="6" xfId="0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44" fontId="2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44" fontId="2" fillId="2" borderId="7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B4C6-0285-4AC0-8D31-944D618031D8}">
  <dimension ref="D2:H39"/>
  <sheetViews>
    <sheetView tabSelected="1" topLeftCell="A23" workbookViewId="0">
      <selection activeCell="C37" sqref="C37"/>
    </sheetView>
  </sheetViews>
  <sheetFormatPr baseColWidth="10" defaultRowHeight="14.4" x14ac:dyDescent="0.3"/>
  <cols>
    <col min="4" max="4" width="17.21875" bestFit="1" customWidth="1"/>
    <col min="5" max="5" width="40.6640625" bestFit="1" customWidth="1"/>
    <col min="6" max="6" width="22.44140625" bestFit="1" customWidth="1"/>
    <col min="7" max="7" width="23.21875" bestFit="1" customWidth="1"/>
    <col min="8" max="8" width="14.77734375" bestFit="1" customWidth="1"/>
  </cols>
  <sheetData>
    <row r="2" spans="4:6" ht="15" thickBot="1" x14ac:dyDescent="0.35"/>
    <row r="3" spans="4:6" x14ac:dyDescent="0.3">
      <c r="D3" s="1"/>
      <c r="E3" s="2" t="s">
        <v>0</v>
      </c>
    </row>
    <row r="4" spans="4:6" x14ac:dyDescent="0.3">
      <c r="D4" s="3"/>
      <c r="E4" s="4" t="s">
        <v>1</v>
      </c>
    </row>
    <row r="5" spans="4:6" x14ac:dyDescent="0.3">
      <c r="D5" s="3"/>
      <c r="E5" s="5">
        <v>46176</v>
      </c>
    </row>
    <row r="6" spans="4:6" x14ac:dyDescent="0.3">
      <c r="D6" s="6" t="s">
        <v>2</v>
      </c>
      <c r="E6" s="7">
        <f>+SUM(E7:E11)</f>
        <v>461403</v>
      </c>
      <c r="F6" t="s">
        <v>3</v>
      </c>
    </row>
    <row r="7" spans="4:6" x14ac:dyDescent="0.3">
      <c r="D7" s="3" t="s">
        <v>4</v>
      </c>
      <c r="E7" s="8">
        <v>461403</v>
      </c>
      <c r="F7" s="9">
        <v>0.05</v>
      </c>
    </row>
    <row r="8" spans="4:6" x14ac:dyDescent="0.3">
      <c r="D8" s="3"/>
      <c r="E8" s="8"/>
    </row>
    <row r="9" spans="4:6" x14ac:dyDescent="0.3">
      <c r="D9" s="3"/>
      <c r="E9" s="8"/>
    </row>
    <row r="10" spans="4:6" x14ac:dyDescent="0.3">
      <c r="D10" s="3"/>
      <c r="E10" s="8"/>
    </row>
    <row r="11" spans="4:6" ht="15" thickBot="1" x14ac:dyDescent="0.35">
      <c r="D11" s="10"/>
      <c r="E11" s="11"/>
    </row>
    <row r="12" spans="4:6" x14ac:dyDescent="0.3">
      <c r="D12" s="12"/>
      <c r="E12" s="13"/>
    </row>
    <row r="13" spans="4:6" ht="15" thickBot="1" x14ac:dyDescent="0.35">
      <c r="D13" s="12"/>
      <c r="E13" s="13"/>
    </row>
    <row r="14" spans="4:6" x14ac:dyDescent="0.3">
      <c r="D14" s="14"/>
      <c r="E14" s="2" t="s">
        <v>5</v>
      </c>
    </row>
    <row r="15" spans="4:6" x14ac:dyDescent="0.3">
      <c r="D15" s="15"/>
      <c r="E15" s="16"/>
    </row>
    <row r="16" spans="4:6" ht="15" thickBot="1" x14ac:dyDescent="0.35">
      <c r="D16" s="17" t="s">
        <v>6</v>
      </c>
      <c r="E16" s="18">
        <v>0</v>
      </c>
    </row>
    <row r="17" spans="4:8" x14ac:dyDescent="0.3">
      <c r="D17" s="12"/>
      <c r="E17" s="13"/>
    </row>
    <row r="21" spans="4:8" ht="15" thickBot="1" x14ac:dyDescent="0.35">
      <c r="D21" s="13"/>
      <c r="E21" s="13"/>
    </row>
    <row r="22" spans="4:8" x14ac:dyDescent="0.3">
      <c r="D22" s="1"/>
      <c r="E22" s="2" t="s">
        <v>7</v>
      </c>
    </row>
    <row r="23" spans="4:8" x14ac:dyDescent="0.3">
      <c r="D23" s="3"/>
      <c r="E23" s="4" t="s">
        <v>1</v>
      </c>
    </row>
    <row r="24" spans="4:8" x14ac:dyDescent="0.3">
      <c r="D24" s="3"/>
      <c r="E24" s="5">
        <v>46176</v>
      </c>
      <c r="F24" t="s">
        <v>3</v>
      </c>
    </row>
    <row r="25" spans="4:8" x14ac:dyDescent="0.3">
      <c r="D25" s="6" t="s">
        <v>8</v>
      </c>
      <c r="E25" s="7">
        <f>E28+E31+750</f>
        <v>980619</v>
      </c>
    </row>
    <row r="26" spans="4:8" x14ac:dyDescent="0.3">
      <c r="D26" s="3" t="s">
        <v>9</v>
      </c>
      <c r="E26" s="19">
        <v>230000</v>
      </c>
      <c r="F26" s="9">
        <v>0.05</v>
      </c>
    </row>
    <row r="27" spans="4:8" x14ac:dyDescent="0.3">
      <c r="D27" s="3" t="s">
        <v>10</v>
      </c>
      <c r="E27" s="19">
        <f>7444155+10427520</f>
        <v>17871675</v>
      </c>
      <c r="F27" s="9">
        <v>7.0000000000000007E-2</v>
      </c>
    </row>
    <row r="28" spans="4:8" x14ac:dyDescent="0.3">
      <c r="D28" s="3" t="s">
        <v>11</v>
      </c>
      <c r="E28" s="8">
        <v>585540</v>
      </c>
      <c r="F28" s="20">
        <v>3.5000000000000003E-2</v>
      </c>
    </row>
    <row r="29" spans="4:8" x14ac:dyDescent="0.3">
      <c r="D29" s="3" t="s">
        <v>12</v>
      </c>
      <c r="E29" s="8">
        <v>32000</v>
      </c>
    </row>
    <row r="30" spans="4:8" x14ac:dyDescent="0.3">
      <c r="D30" s="3" t="s">
        <v>13</v>
      </c>
      <c r="E30" s="8"/>
    </row>
    <row r="31" spans="4:8" ht="15" thickBot="1" x14ac:dyDescent="0.35">
      <c r="D31" s="10" t="s">
        <v>14</v>
      </c>
      <c r="E31" s="11">
        <v>394329</v>
      </c>
      <c r="F31" s="20">
        <v>2.5000000000000001E-2</v>
      </c>
    </row>
    <row r="32" spans="4:8" ht="15" thickBot="1" x14ac:dyDescent="0.35">
      <c r="F32" t="s">
        <v>15</v>
      </c>
      <c r="G32" t="s">
        <v>16</v>
      </c>
      <c r="H32" s="21"/>
    </row>
    <row r="33" spans="4:7" ht="15" thickBot="1" x14ac:dyDescent="0.35">
      <c r="D33" s="22" t="s">
        <v>17</v>
      </c>
      <c r="E33" s="23">
        <f>+E25*F33</f>
        <v>17013739.650000002</v>
      </c>
      <c r="F33">
        <v>17.350000000000001</v>
      </c>
      <c r="G33">
        <v>18.25</v>
      </c>
    </row>
    <row r="34" spans="4:7" ht="15" thickBot="1" x14ac:dyDescent="0.35"/>
    <row r="35" spans="4:7" x14ac:dyDescent="0.3">
      <c r="D35" s="14" t="s">
        <v>18</v>
      </c>
      <c r="E35" s="24">
        <f>E16+E6+E26+E27+E29</f>
        <v>18595078</v>
      </c>
    </row>
    <row r="36" spans="4:7" x14ac:dyDescent="0.3">
      <c r="D36" s="25" t="s">
        <v>19</v>
      </c>
      <c r="E36" s="26"/>
    </row>
    <row r="37" spans="4:7" ht="15" thickBot="1" x14ac:dyDescent="0.35">
      <c r="D37" s="17"/>
      <c r="E37" s="27"/>
    </row>
    <row r="38" spans="4:7" ht="15" thickBot="1" x14ac:dyDescent="0.35"/>
    <row r="39" spans="4:7" ht="43.8" thickBot="1" x14ac:dyDescent="0.35">
      <c r="D39" s="28" t="s">
        <v>20</v>
      </c>
      <c r="E39" s="29">
        <f>E33+E35</f>
        <v>35608817.650000006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navarro garcia</dc:creator>
  <cp:lastModifiedBy>Javier navarro garcia</cp:lastModifiedBy>
  <dcterms:created xsi:type="dcterms:W3CDTF">2026-06-03T23:24:34Z</dcterms:created>
  <dcterms:modified xsi:type="dcterms:W3CDTF">2026-06-03T23:25:14Z</dcterms:modified>
</cp:coreProperties>
</file>